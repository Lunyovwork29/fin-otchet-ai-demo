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 (проверено)" sheetId="1" state="visible" r:id="rId1"/>
    <sheet xmlns:r="http://schemas.openxmlformats.org/officeDocument/2006/relationships" name="Отчёт о прибылях и убытках" sheetId="2" state="visible" r:id="rId2"/>
    <sheet xmlns:r="http://schemas.openxmlformats.org/officeDocument/2006/relationships" name="Баланс" sheetId="3" state="visible" r:id="rId3"/>
    <sheet xmlns:r="http://schemas.openxmlformats.org/officeDocument/2006/relationships" name="Пояснительная запис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color rgb="009C0006"/>
      <sz val="9"/>
    </font>
    <font>
      <name val="Arial"/>
      <i val="1"/>
      <color rgb="00595959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b val="1"/>
      <sz val="12"/>
    </font>
    <font>
      <name val="Arial"/>
      <b val="1"/>
      <color rgb="001E7B34"/>
      <sz val="12"/>
    </font>
    <font>
      <name val="Arial"/>
      <i val="1"/>
      <sz val="10"/>
    </font>
    <font>
      <name val="Arial"/>
      <b val="1"/>
      <i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13" customWidth="1" min="4" max="4"/>
    <col width="9" customWidth="1" min="5" max="5"/>
    <col width="7" customWidth="1" min="6" max="6"/>
    <col width="30" customWidth="1" min="7" max="7"/>
    <col width="45" customWidth="1" min="8" max="8"/>
  </cols>
  <sheetData>
    <row r="1" ht="28" customHeight="1">
      <c r="A1" s="1" t="inlineStr">
        <is>
          <t>Дата</t>
        </is>
      </c>
      <c r="B1" s="1" t="inlineStr">
        <is>
          <t>Контрагент</t>
        </is>
      </c>
      <c r="C1" s="1" t="inlineStr">
        <is>
          <t>Назначение платежа</t>
        </is>
      </c>
      <c r="D1" s="1" t="inlineStr">
        <is>
          <t>Сумма, тенге</t>
        </is>
      </c>
      <c r="E1" s="1" t="inlineStr">
        <is>
          <t>Тип</t>
        </is>
      </c>
      <c r="F1" s="1" t="inlineStr">
        <is>
          <t>Счёт</t>
        </is>
      </c>
      <c r="G1" s="1" t="inlineStr">
        <is>
          <t>Статья</t>
        </is>
      </c>
      <c r="H1" s="1" t="inlineStr">
        <is>
          <t>Комментарий ИИ-проверки</t>
        </is>
      </c>
    </row>
    <row r="2">
      <c r="A2" s="2" t="inlineStr">
        <is>
          <t>01.08.2026</t>
        </is>
      </c>
      <c r="B2" s="2" t="inlineStr">
        <is>
          <t>ТОО «Торговый дом Меркурий»</t>
        </is>
      </c>
      <c r="C2" s="2" t="inlineStr">
        <is>
          <t>Оплата за товар по договору №12 от 15.07.2026</t>
        </is>
      </c>
      <c r="D2" s="3" t="n">
        <v>185000</v>
      </c>
      <c r="E2" s="2" t="inlineStr">
        <is>
          <t>доход</t>
        </is>
      </c>
      <c r="F2" s="2" t="inlineStr">
        <is>
          <t>90.1</t>
        </is>
      </c>
      <c r="G2" s="2" t="inlineStr">
        <is>
          <t>Продажи (выручка)</t>
        </is>
      </c>
      <c r="H2" s="4" t="inlineStr"/>
    </row>
    <row r="3">
      <c r="A3" s="2" t="inlineStr">
        <is>
          <t>02.08.2026</t>
        </is>
      </c>
      <c r="B3" s="2" t="inlineStr">
        <is>
          <t>Розничные покупатели</t>
        </is>
      </c>
      <c r="C3" s="2" t="inlineStr">
        <is>
          <t>Выручка от розничных продаж за 01.08.2026</t>
        </is>
      </c>
      <c r="D3" s="3" t="n">
        <v>42300</v>
      </c>
      <c r="E3" s="2" t="inlineStr">
        <is>
          <t>доход</t>
        </is>
      </c>
      <c r="F3" s="2" t="inlineStr">
        <is>
          <t>90.1</t>
        </is>
      </c>
      <c r="G3" s="2" t="inlineStr">
        <is>
          <t>Продажи (выручка)</t>
        </is>
      </c>
      <c r="H3" s="4" t="inlineStr"/>
    </row>
    <row r="4">
      <c r="A4" s="2" t="inlineStr">
        <is>
          <t>03.08.2026</t>
        </is>
      </c>
      <c r="B4" s="2" t="inlineStr">
        <is>
          <t>ИП Соколов К.В.</t>
        </is>
      </c>
      <c r="C4" s="2" t="inlineStr">
        <is>
          <t>Оплата за консультационные услуги</t>
        </is>
      </c>
      <c r="D4" s="3" t="n">
        <v>25000</v>
      </c>
      <c r="E4" s="2" t="inlineStr">
        <is>
          <t>доход</t>
        </is>
      </c>
      <c r="F4" s="2" t="inlineStr">
        <is>
          <t>90.1</t>
        </is>
      </c>
      <c r="G4" s="2" t="inlineStr">
        <is>
          <t>Продажи (выручка)</t>
        </is>
      </c>
      <c r="H4" s="4" t="inlineStr"/>
    </row>
    <row r="5">
      <c r="A5" s="2" t="inlineStr">
        <is>
          <t>05.08.2026</t>
        </is>
      </c>
      <c r="B5" s="2" t="inlineStr">
        <is>
          <t>ТОО «СтройМатериалы»</t>
        </is>
      </c>
      <c r="C5" s="2" t="inlineStr">
        <is>
          <t>Закупка материалов для производства (накладная №88)</t>
        </is>
      </c>
      <c r="D5" s="3" t="n">
        <v>76400</v>
      </c>
      <c r="E5" s="2" t="inlineStr">
        <is>
          <t>расход</t>
        </is>
      </c>
      <c r="F5" s="2" t="inlineStr">
        <is>
          <t>10</t>
        </is>
      </c>
      <c r="G5" s="2" t="inlineStr">
        <is>
          <t>Материалы</t>
        </is>
      </c>
      <c r="H5" s="4" t="inlineStr"/>
    </row>
    <row r="6">
      <c r="A6" s="2" t="inlineStr">
        <is>
          <t>05.08.2026</t>
        </is>
      </c>
      <c r="B6" s="2" t="inlineStr">
        <is>
          <t>АО «ГорЭнергоСбыт»</t>
        </is>
      </c>
      <c r="C6" s="2" t="inlineStr">
        <is>
          <t>Оплата электроэнергии за июль 2026</t>
        </is>
      </c>
      <c r="D6" s="3" t="n">
        <v>18650</v>
      </c>
      <c r="E6" s="2" t="inlineStr">
        <is>
          <t>расход</t>
        </is>
      </c>
      <c r="F6" s="2" t="inlineStr">
        <is>
          <t>26</t>
        </is>
      </c>
      <c r="G6" s="2" t="inlineStr">
        <is>
          <t>Общехозяйственные расходы — коммунальные услуги</t>
        </is>
      </c>
      <c r="H6" s="4" t="inlineStr"/>
    </row>
    <row r="7">
      <c r="A7" s="2" t="inlineStr">
        <is>
          <t>06.08.2026</t>
        </is>
      </c>
      <c r="B7" s="2" t="inlineStr">
        <is>
          <t>ТОО «Водоканал-Сервис»</t>
        </is>
      </c>
      <c r="C7" s="2" t="inlineStr">
        <is>
          <t>Оплата водоснабжения и водоотведения за июль 2026</t>
        </is>
      </c>
      <c r="D7" s="3" t="n">
        <v>4200</v>
      </c>
      <c r="E7" s="2" t="inlineStr">
        <is>
          <t>расход</t>
        </is>
      </c>
      <c r="F7" s="2" t="inlineStr">
        <is>
          <t>26</t>
        </is>
      </c>
      <c r="G7" s="2" t="inlineStr">
        <is>
          <t>Общехозяйственные расходы — коммунальные услуги</t>
        </is>
      </c>
      <c r="H7" s="4" t="inlineStr"/>
    </row>
    <row r="8">
      <c r="A8" s="5" t="inlineStr">
        <is>
          <t>07.08.2026</t>
        </is>
      </c>
      <c r="B8" s="5" t="inlineStr">
        <is>
          <t>ИП Петров Н.Н. (арендодатель)</t>
        </is>
      </c>
      <c r="C8" s="5" t="inlineStr">
        <is>
          <t>Оплата аренды офиса за август 2026 по договору №5</t>
        </is>
      </c>
      <c r="D8" s="6" t="n">
        <v>60000</v>
      </c>
      <c r="E8" s="5" t="inlineStr">
        <is>
          <t>расход</t>
        </is>
      </c>
      <c r="F8" s="5" t="inlineStr">
        <is>
          <t>26</t>
        </is>
      </c>
      <c r="G8" s="5" t="inlineStr">
        <is>
          <t>Общехозяйственные расходы — аренда</t>
        </is>
      </c>
      <c r="H8" s="7" t="inlineStr">
        <is>
          <t>Задвоенный платёж: операция полностью повторяет другую строку в таблице (одинаковые дата, контрагент, назначение и сумма). Требуется исключить один из платежей.</t>
        </is>
      </c>
    </row>
    <row r="9">
      <c r="A9" s="5" t="inlineStr">
        <is>
          <t>07.08.2026</t>
        </is>
      </c>
      <c r="B9" s="5" t="inlineStr">
        <is>
          <t>ИП Петров Н.Н. (арендодатель)</t>
        </is>
      </c>
      <c r="C9" s="5" t="inlineStr">
        <is>
          <t>Оплата аренды офиса за август 2026 по договору №5</t>
        </is>
      </c>
      <c r="D9" s="6" t="n">
        <v>60000</v>
      </c>
      <c r="E9" s="5" t="inlineStr">
        <is>
          <t>расход</t>
        </is>
      </c>
      <c r="F9" s="5" t="inlineStr">
        <is>
          <t>26</t>
        </is>
      </c>
      <c r="G9" s="5" t="inlineStr">
        <is>
          <t>Общехозяйственные расходы — аренда</t>
        </is>
      </c>
      <c r="H9" s="7" t="inlineStr">
        <is>
          <t>Задвоенный платёж: операция полностью повторяет другую строку в таблице (одинаковые дата, контрагент, назначение и сумма). Требуется исключить один из платежей.</t>
        </is>
      </c>
    </row>
    <row r="10">
      <c r="A10" s="2" t="inlineStr">
        <is>
          <t>08.08.2026</t>
        </is>
      </c>
      <c r="B10" s="2" t="inlineStr">
        <is>
          <t>Розничные покупатели</t>
        </is>
      </c>
      <c r="C10" s="2" t="inlineStr">
        <is>
          <t>Выручка от розничных продаж за 07.08.2026</t>
        </is>
      </c>
      <c r="D10" s="3" t="n">
        <v>38900</v>
      </c>
      <c r="E10" s="2" t="inlineStr">
        <is>
          <t>доход</t>
        </is>
      </c>
      <c r="F10" s="2" t="inlineStr">
        <is>
          <t>90.1</t>
        </is>
      </c>
      <c r="G10" s="2" t="inlineStr">
        <is>
          <t>Продажи (выручка)</t>
        </is>
      </c>
      <c r="H10" s="4" t="inlineStr"/>
    </row>
    <row r="11">
      <c r="A11" s="2" t="inlineStr">
        <is>
          <t>10.08.2026</t>
        </is>
      </c>
      <c r="B11" s="2" t="inlineStr">
        <is>
          <t>ТОО «Логистик-Транс»</t>
        </is>
      </c>
      <c r="C11" s="2" t="inlineStr">
        <is>
          <t>Оплата транспортных услуг по доставке товара</t>
        </is>
      </c>
      <c r="D11" s="3" t="n">
        <v>15300</v>
      </c>
      <c r="E11" s="2" t="inlineStr">
        <is>
          <t>расход</t>
        </is>
      </c>
      <c r="F11" s="2" t="inlineStr">
        <is>
          <t>44</t>
        </is>
      </c>
      <c r="G11" s="2" t="inlineStr">
        <is>
          <t>Расходы на продажу — транспорт</t>
        </is>
      </c>
      <c r="H11" s="4" t="inlineStr"/>
    </row>
    <row r="12">
      <c r="A12" s="5" t="inlineStr">
        <is>
          <t>12.08.2026</t>
        </is>
      </c>
      <c r="B12" s="5" t="inlineStr">
        <is>
          <t>Сотрудники компании (ведомость №8)</t>
        </is>
      </c>
      <c r="C12" s="5" t="inlineStr">
        <is>
          <t>Зарплата за август 2026 (5 сотрудников по 45 000 тенге)</t>
        </is>
      </c>
      <c r="D12" s="6" t="n">
        <v>205000</v>
      </c>
      <c r="E12" s="5" t="inlineStr">
        <is>
          <t>расход</t>
        </is>
      </c>
      <c r="F12" s="5" t="inlineStr">
        <is>
          <t>70</t>
        </is>
      </c>
      <c r="G12" s="5" t="inlineStr">
        <is>
          <t>Расчёты с персоналом по оплате труда</t>
        </is>
      </c>
      <c r="H12" s="7" t="inlineStr">
        <is>
          <t>Сумма не соответствует расчёту в назначении платежа: по тексту ожидается 225 000 ₸, а указано 205 000 ₸ (расхождение 20 000 ₸). Требуется уточнить сумму у бухгалтера.</t>
        </is>
      </c>
    </row>
    <row r="13">
      <c r="A13" s="2" t="inlineStr">
        <is>
          <t>12.08.2026</t>
        </is>
      </c>
      <c r="B13" s="2" t="inlineStr">
        <is>
          <t>Департамент государственных доходов</t>
        </is>
      </c>
      <c r="C13" s="2" t="inlineStr">
        <is>
          <t>Перечислены страховые взносы с ФОТ за июль 2026</t>
        </is>
      </c>
      <c r="D13" s="3" t="n">
        <v>67500</v>
      </c>
      <c r="E13" s="2" t="inlineStr">
        <is>
          <t>расход</t>
        </is>
      </c>
      <c r="F13" s="2" t="inlineStr">
        <is>
          <t>69</t>
        </is>
      </c>
      <c r="G13" s="2" t="inlineStr">
        <is>
          <t>Расчёты по социальному страхованию</t>
        </is>
      </c>
      <c r="H13" s="4" t="inlineStr"/>
    </row>
    <row r="14">
      <c r="A14" s="2" t="inlineStr">
        <is>
          <t>13.08.2026</t>
        </is>
      </c>
      <c r="B14" s="2" t="inlineStr">
        <is>
          <t>ЧОП «Страж»</t>
        </is>
      </c>
      <c r="C14" s="2" t="inlineStr">
        <is>
          <t>Оплата услуг охраны офиса за август 2026</t>
        </is>
      </c>
      <c r="D14" s="3" t="n">
        <v>8200</v>
      </c>
      <c r="E14" s="2" t="inlineStr">
        <is>
          <t>расход</t>
        </is>
      </c>
      <c r="F14" s="2" t="inlineStr">
        <is>
          <t>26</t>
        </is>
      </c>
      <c r="G14" s="2" t="inlineStr">
        <is>
          <t>Общехозяйственные расходы — охрана</t>
        </is>
      </c>
      <c r="H14" s="4" t="inlineStr"/>
    </row>
    <row r="15">
      <c r="A15" s="2" t="inlineStr">
        <is>
          <t>14.08.2026</t>
        </is>
      </c>
      <c r="B15" s="2" t="inlineStr">
        <is>
          <t>ТОО «Гамма»</t>
        </is>
      </c>
      <c r="C15" s="2" t="inlineStr">
        <is>
          <t>Выручка от продажи товара оптовому покупателю (счёт №44)</t>
        </is>
      </c>
      <c r="D15" s="3" t="n">
        <v>182000</v>
      </c>
      <c r="E15" s="2" t="inlineStr">
        <is>
          <t>доход</t>
        </is>
      </c>
      <c r="F15" s="2" t="inlineStr">
        <is>
          <t>90.1</t>
        </is>
      </c>
      <c r="G15" s="2" t="inlineStr">
        <is>
          <t>Продажи (выручка)</t>
        </is>
      </c>
      <c r="H15" s="4" t="inlineStr"/>
    </row>
    <row r="16">
      <c r="A16" s="2" t="inlineStr">
        <is>
          <t>15.08.2026</t>
        </is>
      </c>
      <c r="B16" s="2" t="inlineStr">
        <is>
          <t>ТОО «РекламаСити»</t>
        </is>
      </c>
      <c r="C16" s="2" t="inlineStr">
        <is>
          <t>Оплата услуг наружной рекламы</t>
        </is>
      </c>
      <c r="D16" s="3" t="n">
        <v>22000</v>
      </c>
      <c r="E16" s="2" t="inlineStr">
        <is>
          <t>расход</t>
        </is>
      </c>
      <c r="F16" s="2" t="inlineStr">
        <is>
          <t>44</t>
        </is>
      </c>
      <c r="G16" s="2" t="inlineStr">
        <is>
          <t>Расходы на продажу — реклама</t>
        </is>
      </c>
      <c r="H16" s="4" t="inlineStr"/>
    </row>
    <row r="17">
      <c r="A17" s="2" t="inlineStr">
        <is>
          <t>17.08.2026</t>
        </is>
      </c>
      <c r="B17" s="2" t="inlineStr">
        <is>
          <t>АО «Банк Флагман»</t>
        </is>
      </c>
      <c r="C17" s="2" t="inlineStr">
        <is>
          <t>Комиссия банка за расчётно-кассовое обслуживание</t>
        </is>
      </c>
      <c r="D17" s="3" t="n">
        <v>3100</v>
      </c>
      <c r="E17" s="2" t="inlineStr">
        <is>
          <t>расход</t>
        </is>
      </c>
      <c r="F17" s="2" t="inlineStr">
        <is>
          <t>26</t>
        </is>
      </c>
      <c r="G17" s="2" t="inlineStr">
        <is>
          <t>Общехозяйственные расходы — банковские услуги</t>
        </is>
      </c>
      <c r="H17" s="4" t="inlineStr"/>
    </row>
    <row r="18">
      <c r="A18" s="2" t="inlineStr">
        <is>
          <t>18.08.2026</t>
        </is>
      </c>
      <c r="B18" s="2" t="inlineStr">
        <is>
          <t>Розничные покупатели</t>
        </is>
      </c>
      <c r="C18" s="2" t="inlineStr">
        <is>
          <t>Выручка от розничных продаж за 15.08.2026</t>
        </is>
      </c>
      <c r="D18" s="3" t="n">
        <v>51200</v>
      </c>
      <c r="E18" s="2" t="inlineStr">
        <is>
          <t>доход</t>
        </is>
      </c>
      <c r="F18" s="2" t="inlineStr">
        <is>
          <t>90.1</t>
        </is>
      </c>
      <c r="G18" s="2" t="inlineStr">
        <is>
          <t>Продажи (выручка)</t>
        </is>
      </c>
      <c r="H18" s="4" t="inlineStr"/>
    </row>
    <row r="19">
      <c r="A19" s="2" t="inlineStr">
        <is>
          <t>19.08.2026</t>
        </is>
      </c>
      <c r="B19" s="2" t="inlineStr">
        <is>
          <t>ТОО «Канцторг»</t>
        </is>
      </c>
      <c r="C19" s="2" t="inlineStr">
        <is>
          <t>Закупка канцелярских товаров</t>
        </is>
      </c>
      <c r="D19" s="3" t="n">
        <v>4850</v>
      </c>
      <c r="E19" s="2" t="inlineStr">
        <is>
          <t>расход</t>
        </is>
      </c>
      <c r="F19" s="2" t="inlineStr">
        <is>
          <t>26</t>
        </is>
      </c>
      <c r="G19" s="2" t="inlineStr">
        <is>
          <t>Общехозяйственные расходы — канцтовары</t>
        </is>
      </c>
      <c r="H19" s="4" t="inlineStr"/>
    </row>
    <row r="20">
      <c r="A20" s="2" t="inlineStr">
        <is>
          <t>20.08.2026</t>
        </is>
      </c>
      <c r="B20" s="2" t="inlineStr">
        <is>
          <t>ТОО «Сервис-Ремонт»</t>
        </is>
      </c>
      <c r="C20" s="2" t="inlineStr">
        <is>
          <t>Оплата ремонта офисной техники</t>
        </is>
      </c>
      <c r="D20" s="3" t="n">
        <v>9700</v>
      </c>
      <c r="E20" s="2" t="inlineStr">
        <is>
          <t>расход</t>
        </is>
      </c>
      <c r="F20" s="2" t="inlineStr">
        <is>
          <t>26</t>
        </is>
      </c>
      <c r="G20" s="2" t="inlineStr">
        <is>
          <t>Общехозяйственные расходы — ремонт</t>
        </is>
      </c>
      <c r="H20" s="4" t="inlineStr"/>
    </row>
    <row r="21">
      <c r="A21" s="2" t="inlineStr">
        <is>
          <t>22.08.2026</t>
        </is>
      </c>
      <c r="B21" s="2" t="inlineStr">
        <is>
          <t>Департамент государственных доходов</t>
        </is>
      </c>
      <c r="C21" s="2" t="inlineStr">
        <is>
          <t>Уплачен налог по УСН (авансовый платёж за 3 квартал 2026)</t>
        </is>
      </c>
      <c r="D21" s="3" t="n">
        <v>48000</v>
      </c>
      <c r="E21" s="2" t="inlineStr">
        <is>
          <t>расход</t>
        </is>
      </c>
      <c r="F21" s="2" t="inlineStr">
        <is>
          <t>68</t>
        </is>
      </c>
      <c r="G21" s="2" t="inlineStr">
        <is>
          <t>Расчёты по налогам и сборам</t>
        </is>
      </c>
      <c r="H21" s="4" t="inlineStr"/>
    </row>
    <row r="22">
      <c r="A22" s="2" t="inlineStr">
        <is>
          <t>25.08.2026</t>
        </is>
      </c>
      <c r="B22" s="2" t="inlineStr">
        <is>
          <t>АО «Банк Флагман»</t>
        </is>
      </c>
      <c r="C22" s="2" t="inlineStr">
        <is>
          <t>Оплата процентов по кредиту за август 2026</t>
        </is>
      </c>
      <c r="D22" s="3" t="n">
        <v>11200</v>
      </c>
      <c r="E22" s="2" t="inlineStr">
        <is>
          <t>расход</t>
        </is>
      </c>
      <c r="F22" s="2" t="inlineStr">
        <is>
          <t>66</t>
        </is>
      </c>
      <c r="G22" s="2" t="inlineStr">
        <is>
          <t>Расчёты по кредитам и займам</t>
        </is>
      </c>
      <c r="H22" s="4" t="inlineStr"/>
    </row>
    <row r="23">
      <c r="A23" s="2" t="inlineStr">
        <is>
          <t>27.08.2026</t>
        </is>
      </c>
      <c r="B23" s="2" t="inlineStr">
        <is>
          <t>ТОО «Дельта»</t>
        </is>
      </c>
      <c r="C23" s="2" t="inlineStr">
        <is>
          <t>Выручка от продажи товара оптовому покупателю (счёт №47)</t>
        </is>
      </c>
      <c r="D23" s="3" t="n">
        <v>96500</v>
      </c>
      <c r="E23" s="2" t="inlineStr">
        <is>
          <t>доход</t>
        </is>
      </c>
      <c r="F23" s="2" t="inlineStr">
        <is>
          <t>90.1</t>
        </is>
      </c>
      <c r="G23" s="2" t="inlineStr">
        <is>
          <t>Продажи (выручка)</t>
        </is>
      </c>
      <c r="H23" s="4" t="inlineStr"/>
    </row>
    <row r="24">
      <c r="A24" s="2" t="inlineStr">
        <is>
          <t>29.08.2026</t>
        </is>
      </c>
      <c r="B24" s="2" t="inlineStr">
        <is>
          <t>ТОО «СвязьТелеком»</t>
        </is>
      </c>
      <c r="C24" s="2" t="inlineStr">
        <is>
          <t>Оплата услуг связи и интернета за август 2026</t>
        </is>
      </c>
      <c r="D24" s="3" t="n">
        <v>5400</v>
      </c>
      <c r="E24" s="2" t="inlineStr">
        <is>
          <t>расход</t>
        </is>
      </c>
      <c r="F24" s="2" t="inlineStr">
        <is>
          <t>26</t>
        </is>
      </c>
      <c r="G24" s="2" t="inlineStr">
        <is>
          <t>Общехозяйственные расходы — связь</t>
        </is>
      </c>
      <c r="H24" s="4" t="inlineStr"/>
    </row>
    <row r="26">
      <c r="A26" s="8" t="inlineStr">
        <is>
          <t>Строки, выделенные красным, — операции с ошибками, найденными ИИ-проверкой.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9" t="inlineStr">
        <is>
          <t>Отчёт о прибылях и убытках — ТОО «Светлый Дом»</t>
        </is>
      </c>
    </row>
    <row r="2">
      <c r="A2" s="8" t="inlineStr">
        <is>
          <t>за август 2026 года (после проверки и исправления ошибок)</t>
        </is>
      </c>
    </row>
    <row r="4">
      <c r="A4" s="10" t="inlineStr">
        <is>
          <t>ДОХОДЫ</t>
        </is>
      </c>
    </row>
    <row r="5">
      <c r="A5" s="11" t="inlineStr">
        <is>
          <t>Продажи (выручка)</t>
        </is>
      </c>
      <c r="B5" s="12" t="n">
        <v>620900</v>
      </c>
    </row>
    <row r="6">
      <c r="A6" s="13" t="inlineStr">
        <is>
          <t>Итого доходы</t>
        </is>
      </c>
      <c r="B6" s="14">
        <f>SUM(B5:B5)</f>
        <v/>
      </c>
    </row>
    <row r="8">
      <c r="A8" s="10" t="inlineStr">
        <is>
          <t>РАСХОДЫ</t>
        </is>
      </c>
    </row>
    <row r="9">
      <c r="A9" s="11" t="inlineStr">
        <is>
          <t>Расчёты с персоналом по оплате труда</t>
        </is>
      </c>
      <c r="B9" s="12" t="n">
        <v>225000</v>
      </c>
    </row>
    <row r="10">
      <c r="A10" s="11" t="inlineStr">
        <is>
          <t>Материалы</t>
        </is>
      </c>
      <c r="B10" s="12" t="n">
        <v>76400</v>
      </c>
    </row>
    <row r="11">
      <c r="A11" s="11" t="inlineStr">
        <is>
          <t>Расчёты по социальному страхованию</t>
        </is>
      </c>
      <c r="B11" s="12" t="n">
        <v>67500</v>
      </c>
    </row>
    <row r="12">
      <c r="A12" s="11" t="inlineStr">
        <is>
          <t>Общехозяйственные расходы — аренда</t>
        </is>
      </c>
      <c r="B12" s="12" t="n">
        <v>60000</v>
      </c>
    </row>
    <row r="13">
      <c r="A13" s="11" t="inlineStr">
        <is>
          <t>Расчёты по налогам и сборам</t>
        </is>
      </c>
      <c r="B13" s="12" t="n">
        <v>48000</v>
      </c>
    </row>
    <row r="14">
      <c r="A14" s="11" t="inlineStr">
        <is>
          <t>Общехозяйственные расходы — коммунальные услуги</t>
        </is>
      </c>
      <c r="B14" s="12" t="n">
        <v>22850</v>
      </c>
    </row>
    <row r="15">
      <c r="A15" s="11" t="inlineStr">
        <is>
          <t>Расходы на продажу — реклама</t>
        </is>
      </c>
      <c r="B15" s="12" t="n">
        <v>22000</v>
      </c>
    </row>
    <row r="16">
      <c r="A16" s="11" t="inlineStr">
        <is>
          <t>Расходы на продажу — транспорт</t>
        </is>
      </c>
      <c r="B16" s="12" t="n">
        <v>15300</v>
      </c>
    </row>
    <row r="17">
      <c r="A17" s="11" t="inlineStr">
        <is>
          <t>Расчёты по кредитам и займам</t>
        </is>
      </c>
      <c r="B17" s="12" t="n">
        <v>11200</v>
      </c>
    </row>
    <row r="18">
      <c r="A18" s="11" t="inlineStr">
        <is>
          <t>Общехозяйственные расходы — ремонт</t>
        </is>
      </c>
      <c r="B18" s="12" t="n">
        <v>9700</v>
      </c>
    </row>
    <row r="19">
      <c r="A19" s="11" t="inlineStr">
        <is>
          <t>Общехозяйственные расходы — охрана</t>
        </is>
      </c>
      <c r="B19" s="12" t="n">
        <v>8200</v>
      </c>
    </row>
    <row r="20">
      <c r="A20" s="11" t="inlineStr">
        <is>
          <t>Общехозяйственные расходы — связь</t>
        </is>
      </c>
      <c r="B20" s="12" t="n">
        <v>5400</v>
      </c>
    </row>
    <row r="21">
      <c r="A21" s="11" t="inlineStr">
        <is>
          <t>Общехозяйственные расходы — канцтовары</t>
        </is>
      </c>
      <c r="B21" s="12" t="n">
        <v>4850</v>
      </c>
    </row>
    <row r="22">
      <c r="A22" s="11" t="inlineStr">
        <is>
          <t>Общехозяйственные расходы — банковские услуги</t>
        </is>
      </c>
      <c r="B22" s="12" t="n">
        <v>3100</v>
      </c>
    </row>
    <row r="23">
      <c r="A23" s="13" t="inlineStr">
        <is>
          <t>Итого расходы</t>
        </is>
      </c>
      <c r="B23" s="14">
        <f>SUM(B9:B22)</f>
        <v/>
      </c>
    </row>
    <row r="25">
      <c r="A25" s="15" t="inlineStr">
        <is>
          <t>ЧИСТАЯ ПРИБЫЛЬ</t>
        </is>
      </c>
      <c r="B25" s="16">
        <f>B6-B23</f>
        <v/>
      </c>
    </row>
    <row r="28">
      <c r="A28" s="8" t="inlineStr">
        <is>
          <t>Справочно: без учёта проверки ИИ (с задвоенным платежом и ошибкой в сумме зарплаты) финансовый результат составил бы 1 400 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9" t="inlineStr">
        <is>
          <t>Упрощённый баланс — ТОО «Светлый Дом»</t>
        </is>
      </c>
    </row>
    <row r="2">
      <c r="A2" s="8" t="inlineStr">
        <is>
          <t>на конец периода (август 2026 года)</t>
        </is>
      </c>
    </row>
    <row r="4">
      <c r="A4" s="10" t="inlineStr">
        <is>
          <t>АКТИВЫ</t>
        </is>
      </c>
    </row>
    <row r="5">
      <c r="A5" s="11" t="inlineStr">
        <is>
          <t>Денежные средства (расчётный счёт)</t>
        </is>
      </c>
      <c r="B5" s="12" t="n">
        <v>150000</v>
      </c>
    </row>
    <row r="6">
      <c r="A6" s="11" t="inlineStr">
        <is>
          <t xml:space="preserve">  + Доходы за месяц</t>
        </is>
      </c>
      <c r="B6" s="12">
        <f>'Отчёт о прибылях и убытках'!B6</f>
        <v/>
      </c>
    </row>
    <row r="7">
      <c r="A7" s="11" t="inlineStr">
        <is>
          <t xml:space="preserve">  − Расходы за месяц</t>
        </is>
      </c>
      <c r="B7" s="12">
        <f>-'Отчёт о прибылях и убытках'!B23</f>
        <v/>
      </c>
    </row>
    <row r="8">
      <c r="A8" s="13" t="inlineStr">
        <is>
          <t>Итого активы</t>
        </is>
      </c>
      <c r="B8" s="14">
        <f>B5+B6+B7</f>
        <v/>
      </c>
    </row>
    <row r="10">
      <c r="A10" s="10" t="inlineStr">
        <is>
          <t>ПАССИВЫ</t>
        </is>
      </c>
    </row>
    <row r="11">
      <c r="A11" s="11" t="inlineStr">
        <is>
          <t>Собственный капитал на начало месяца</t>
        </is>
      </c>
      <c r="B11" s="12" t="n">
        <v>150000</v>
      </c>
    </row>
    <row r="12">
      <c r="A12" s="11" t="inlineStr">
        <is>
          <t xml:space="preserve">  + Чистая прибыль за месяц</t>
        </is>
      </c>
      <c r="B12" s="12">
        <f>'Отчёт о прибылях и убытках'!B25</f>
        <v/>
      </c>
    </row>
    <row r="13">
      <c r="A13" s="11" t="inlineStr">
        <is>
          <t>Обязательства</t>
        </is>
      </c>
      <c r="B13" s="12" t="n">
        <v>0</v>
      </c>
    </row>
    <row r="14">
      <c r="A14" s="13" t="inlineStr">
        <is>
          <t>Итого пассивы</t>
        </is>
      </c>
      <c r="B14" s="14">
        <f>B11+B12+B13</f>
        <v/>
      </c>
    </row>
    <row r="16">
      <c r="A16" s="17" t="inlineStr">
        <is>
          <t>Проверка: Активы = Пассивы?</t>
        </is>
      </c>
      <c r="B16" s="18">
        <f>IF(B8=B14,"Сходится","Не сходится!")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9" t="inlineStr">
        <is>
          <t>ПОЯСНИТЕЛЬНАЯ ЗАПИСКА К ФИНАНСОВОЙ ОТЧЁТНОСТИ</t>
        </is>
      </c>
    </row>
    <row r="2" ht="8" customHeight="1">
      <c r="A2" s="20" t="inlineStr"/>
    </row>
    <row r="3" ht="18" customHeight="1">
      <c r="A3" s="21" t="inlineStr">
        <is>
          <t>ТОО «Светлый Дом», август 2026 года</t>
        </is>
      </c>
    </row>
    <row r="4" ht="8" customHeight="1">
      <c r="A4" s="21" t="inlineStr"/>
    </row>
    <row r="5" ht="8" customHeight="1">
      <c r="A5" s="21" t="inlineStr"/>
    </row>
    <row r="6" ht="8" customHeight="1">
      <c r="A6" s="21" t="inlineStr"/>
    </row>
    <row r="7" ht="18" customHeight="1">
      <c r="A7" s="21" t="inlineStr">
        <is>
          <t>За август 2026 года компания «Светлый Дом» получила выручку в размере 620 900 ₸ — в основном за счёт оптовых продаж товаров и розничной торговли, а также разовых консультационных услуг. Расходы компании за тот же период составили 579 500 ₸ и включают оплату труда сотрудников, аренду офиса, закупку материалов, коммунальные и налоговые платежи, а также услуги сторонних организаций (реклама, охрана, банк, связь).</t>
        </is>
      </c>
    </row>
    <row r="8" ht="8" customHeight="1">
      <c r="A8" s="21" t="inlineStr"/>
    </row>
    <row r="9" ht="18" customHeight="1">
      <c r="A9" s="21" t="inlineStr">
        <is>
          <t>По итогам месяца финансовый результат компании — прибыль в размере 41 400 ₸. Остаток денежных средств на конец месяца составил 191 400 ₸ (при остатке 150 000 ₸ на начало месяца). Эта сумма отражена в упрощённом балансе как денежные средства в активе и как собственный капитал (с учётом прибыли месяца) в пассиве — баланс сходится.</t>
        </is>
      </c>
    </row>
    <row r="10" ht="8" customHeight="1">
      <c r="A10" s="21" t="inlineStr"/>
    </row>
    <row r="11" ht="18" customHeight="1">
      <c r="A11" s="21" t="inlineStr">
        <is>
          <t>При автоматической проверке данных ИИ-сервис обнаружил один задвоенный платёж (одна и та же операция ошибочно повторяется в таблице дважды) и 1 операцию, где указанная сумма не совпадала с расчётом, приведённым в самом назначении платежа. Если бы эти ошибки не были замечены и исправлены, итоговый финансовый результат месяца показал бы прибыль всего 1 400 ₸ — то есть отчётность вводила бы в заблуждение примерно на 40 000 ₸. Это наглядно показывает, зачем нужна проверка первичных данных перед составлением отчётности, и как в этом может помочь 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2026-09-19T10:23:45Z</dcterms:created>
  <dcterms:modified xmlns:dcterms="http://purl.org/dc/terms/" xmlns:xsi="http://www.w3.org/2001/XMLSchema-instance" xsi:type="dcterms:W3CDTF">2026-09-19T10:23:45Z</dcterms:modified>
</cp:coreProperties>
</file>